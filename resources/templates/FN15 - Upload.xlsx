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X:\01 Larkin Enterprises Limited\Payroll\02 Nasfund\2026\FN15\"/>
    </mc:Choice>
  </mc:AlternateContent>
  <xr:revisionPtr revIDLastSave="0" documentId="13_ncr:1_{F554681E-A8E3-4639-B370-BFF3DECCBD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N14" sheetId="1" r:id="rId1"/>
  </sheets>
  <definedNames>
    <definedName name="_xlnm._FilterDatabase" localSheetId="0" hidden="1">'FN14'!$B$5:$S$32</definedName>
    <definedName name="_xlnm.Print_Area" localSheetId="0">'FN14'!$A$1:$S$33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0" i="1" l="1"/>
  <c r="H40" i="1"/>
  <c r="I40" i="1"/>
  <c r="J40" i="1"/>
  <c r="K40" i="1"/>
  <c r="L37" i="1"/>
  <c r="M37" i="1"/>
  <c r="N37" i="1"/>
  <c r="O37" i="1"/>
  <c r="P37" i="1"/>
  <c r="Q37" i="1"/>
  <c r="L38" i="1"/>
  <c r="M38" i="1"/>
  <c r="N38" i="1"/>
  <c r="O38" i="1"/>
  <c r="P38" i="1"/>
  <c r="Q38" i="1"/>
  <c r="L39" i="1"/>
  <c r="M39" i="1"/>
  <c r="N39" i="1"/>
  <c r="O39" i="1"/>
  <c r="P39" i="1"/>
  <c r="Q39" i="1"/>
  <c r="L36" i="1"/>
  <c r="M36" i="1"/>
  <c r="N36" i="1"/>
  <c r="O36" i="1"/>
  <c r="P36" i="1"/>
  <c r="Q36" i="1"/>
  <c r="L34" i="1"/>
  <c r="M34" i="1"/>
  <c r="N34" i="1"/>
  <c r="O34" i="1"/>
  <c r="P34" i="1"/>
  <c r="Q34" i="1"/>
  <c r="L35" i="1"/>
  <c r="M35" i="1"/>
  <c r="N35" i="1"/>
  <c r="O35" i="1"/>
  <c r="P35" i="1"/>
  <c r="Q35" i="1"/>
  <c r="L30" i="1"/>
  <c r="M30" i="1"/>
  <c r="N30" i="1"/>
  <c r="O30" i="1"/>
  <c r="P30" i="1"/>
  <c r="Q30" i="1"/>
  <c r="L31" i="1"/>
  <c r="M31" i="1"/>
  <c r="N31" i="1"/>
  <c r="O31" i="1"/>
  <c r="P31" i="1"/>
  <c r="Q31" i="1"/>
  <c r="R38" i="1" l="1"/>
  <c r="R39" i="1"/>
  <c r="R37" i="1"/>
  <c r="R36" i="1"/>
  <c r="R35" i="1"/>
  <c r="R34" i="1"/>
  <c r="R31" i="1"/>
  <c r="R30" i="1"/>
  <c r="L13" i="1"/>
  <c r="M13" i="1"/>
  <c r="N13" i="1"/>
  <c r="O13" i="1"/>
  <c r="P13" i="1"/>
  <c r="Q13" i="1"/>
  <c r="L17" i="1"/>
  <c r="M17" i="1"/>
  <c r="N17" i="1"/>
  <c r="O17" i="1"/>
  <c r="P17" i="1"/>
  <c r="Q17" i="1"/>
  <c r="L18" i="1"/>
  <c r="M18" i="1"/>
  <c r="N18" i="1"/>
  <c r="O18" i="1"/>
  <c r="P18" i="1"/>
  <c r="Q18" i="1"/>
  <c r="L19" i="1"/>
  <c r="M19" i="1"/>
  <c r="N19" i="1"/>
  <c r="O19" i="1"/>
  <c r="P19" i="1"/>
  <c r="Q19" i="1"/>
  <c r="L20" i="1"/>
  <c r="M20" i="1"/>
  <c r="N20" i="1"/>
  <c r="O20" i="1"/>
  <c r="P20" i="1"/>
  <c r="Q20" i="1"/>
  <c r="L21" i="1"/>
  <c r="M21" i="1"/>
  <c r="N21" i="1"/>
  <c r="O21" i="1"/>
  <c r="P21" i="1"/>
  <c r="Q21" i="1"/>
  <c r="L22" i="1"/>
  <c r="M22" i="1"/>
  <c r="N22" i="1"/>
  <c r="O22" i="1"/>
  <c r="P22" i="1"/>
  <c r="Q22" i="1"/>
  <c r="L23" i="1"/>
  <c r="M23" i="1"/>
  <c r="N23" i="1"/>
  <c r="O23" i="1"/>
  <c r="P23" i="1"/>
  <c r="Q23" i="1"/>
  <c r="L24" i="1"/>
  <c r="M24" i="1"/>
  <c r="N24" i="1"/>
  <c r="O24" i="1"/>
  <c r="P24" i="1"/>
  <c r="Q24" i="1"/>
  <c r="L25" i="1"/>
  <c r="M25" i="1"/>
  <c r="N25" i="1"/>
  <c r="O25" i="1"/>
  <c r="P25" i="1"/>
  <c r="Q25" i="1"/>
  <c r="L26" i="1"/>
  <c r="M26" i="1"/>
  <c r="N26" i="1"/>
  <c r="O26" i="1"/>
  <c r="P26" i="1"/>
  <c r="Q26" i="1"/>
  <c r="L27" i="1"/>
  <c r="M27" i="1"/>
  <c r="N27" i="1"/>
  <c r="O27" i="1"/>
  <c r="P27" i="1"/>
  <c r="Q27" i="1"/>
  <c r="L28" i="1"/>
  <c r="M28" i="1"/>
  <c r="N28" i="1"/>
  <c r="O28" i="1"/>
  <c r="P28" i="1"/>
  <c r="Q28" i="1"/>
  <c r="L29" i="1"/>
  <c r="M29" i="1"/>
  <c r="N29" i="1"/>
  <c r="O29" i="1"/>
  <c r="P29" i="1"/>
  <c r="Q29" i="1"/>
  <c r="L32" i="1"/>
  <c r="M32" i="1"/>
  <c r="N32" i="1"/>
  <c r="O32" i="1"/>
  <c r="P32" i="1"/>
  <c r="Q32" i="1"/>
  <c r="L33" i="1"/>
  <c r="M33" i="1"/>
  <c r="N33" i="1"/>
  <c r="O33" i="1"/>
  <c r="P33" i="1"/>
  <c r="Q33" i="1"/>
  <c r="L5" i="1"/>
  <c r="M5" i="1"/>
  <c r="N5" i="1"/>
  <c r="O5" i="1"/>
  <c r="P5" i="1"/>
  <c r="Q5" i="1"/>
  <c r="L6" i="1"/>
  <c r="M6" i="1"/>
  <c r="N6" i="1"/>
  <c r="O6" i="1"/>
  <c r="P6" i="1"/>
  <c r="Q6" i="1"/>
  <c r="L7" i="1"/>
  <c r="M7" i="1"/>
  <c r="N7" i="1"/>
  <c r="O7" i="1"/>
  <c r="P7" i="1"/>
  <c r="Q7" i="1"/>
  <c r="L8" i="1"/>
  <c r="M8" i="1"/>
  <c r="N8" i="1"/>
  <c r="O8" i="1"/>
  <c r="P8" i="1"/>
  <c r="Q8" i="1"/>
  <c r="L9" i="1"/>
  <c r="M9" i="1"/>
  <c r="N9" i="1"/>
  <c r="O9" i="1"/>
  <c r="P9" i="1"/>
  <c r="Q9" i="1"/>
  <c r="L10" i="1"/>
  <c r="M10" i="1"/>
  <c r="N10" i="1"/>
  <c r="O10" i="1"/>
  <c r="P10" i="1"/>
  <c r="Q10" i="1"/>
  <c r="L11" i="1"/>
  <c r="M11" i="1"/>
  <c r="N11" i="1"/>
  <c r="O11" i="1"/>
  <c r="P11" i="1"/>
  <c r="Q11" i="1"/>
  <c r="L12" i="1"/>
  <c r="M12" i="1"/>
  <c r="N12" i="1"/>
  <c r="O12" i="1"/>
  <c r="P12" i="1"/>
  <c r="Q12" i="1"/>
  <c r="L14" i="1"/>
  <c r="M14" i="1"/>
  <c r="N14" i="1"/>
  <c r="O14" i="1"/>
  <c r="P14" i="1"/>
  <c r="Q14" i="1"/>
  <c r="L15" i="1"/>
  <c r="M15" i="1"/>
  <c r="N15" i="1"/>
  <c r="O15" i="1"/>
  <c r="P15" i="1"/>
  <c r="Q15" i="1"/>
  <c r="L16" i="1"/>
  <c r="M16" i="1"/>
  <c r="N16" i="1"/>
  <c r="O16" i="1"/>
  <c r="P16" i="1"/>
  <c r="Q16" i="1"/>
  <c r="R25" i="1" l="1"/>
  <c r="R13" i="1"/>
  <c r="R28" i="1"/>
  <c r="R23" i="1"/>
  <c r="R5" i="1"/>
  <c r="R17" i="1"/>
  <c r="R20" i="1"/>
  <c r="R32" i="1"/>
  <c r="R29" i="1"/>
  <c r="R19" i="1"/>
  <c r="R33" i="1"/>
  <c r="R22" i="1"/>
  <c r="R24" i="1"/>
  <c r="R27" i="1"/>
  <c r="R18" i="1"/>
  <c r="R26" i="1"/>
  <c r="R21" i="1"/>
  <c r="R15" i="1"/>
  <c r="R12" i="1"/>
  <c r="R16" i="1"/>
  <c r="R7" i="1"/>
  <c r="R9" i="1"/>
  <c r="R6" i="1"/>
  <c r="R11" i="1"/>
  <c r="R8" i="1"/>
  <c r="R14" i="1"/>
  <c r="R10" i="1"/>
  <c r="Q4" i="1"/>
  <c r="Q40" i="1" s="1"/>
  <c r="P4" i="1"/>
  <c r="P40" i="1" s="1"/>
  <c r="O4" i="1"/>
  <c r="O40" i="1" s="1"/>
  <c r="N4" i="1"/>
  <c r="N40" i="1" s="1"/>
  <c r="M4" i="1"/>
  <c r="M40" i="1" s="1"/>
  <c r="L4" i="1"/>
  <c r="L40" i="1" s="1"/>
  <c r="R4" i="1" l="1"/>
  <c r="R40" i="1" s="1"/>
</calcChain>
</file>

<file path=xl/sharedStrings.xml><?xml version="1.0" encoding="utf-8"?>
<sst xmlns="http://schemas.openxmlformats.org/spreadsheetml/2006/main" count="140" uniqueCount="99">
  <si>
    <t>03</t>
  </si>
  <si>
    <t>Johnson</t>
  </si>
  <si>
    <t>Simbel</t>
  </si>
  <si>
    <t>Foncy</t>
  </si>
  <si>
    <t>Tom</t>
  </si>
  <si>
    <t>Benoma</t>
  </si>
  <si>
    <t>Mata</t>
  </si>
  <si>
    <t>Ai</t>
  </si>
  <si>
    <t>Mark</t>
  </si>
  <si>
    <t>Date Employed</t>
  </si>
  <si>
    <t>Total Cont</t>
  </si>
  <si>
    <t>Salary Sac</t>
  </si>
  <si>
    <t>Employer Vol</t>
  </si>
  <si>
    <t>Member Vol</t>
  </si>
  <si>
    <t>Housing Rep</t>
  </si>
  <si>
    <t>Member Cont</t>
  </si>
  <si>
    <t>Employer Cont</t>
  </si>
  <si>
    <t>Sal Sac %</t>
  </si>
  <si>
    <t>Emp Vol %</t>
  </si>
  <si>
    <t>Mem Vol %</t>
  </si>
  <si>
    <t>Housing %</t>
  </si>
  <si>
    <t>Gross Pay</t>
  </si>
  <si>
    <t>Date of Birth</t>
  </si>
  <si>
    <t>Payroll Number</t>
  </si>
  <si>
    <t>Given Name(s)</t>
  </si>
  <si>
    <t>Member Surname</t>
  </si>
  <si>
    <t>Client Number</t>
  </si>
  <si>
    <t>02</t>
  </si>
  <si>
    <t>22/08/2019</t>
  </si>
  <si>
    <t>LARKIN ENTERPRISES LTD</t>
  </si>
  <si>
    <t>01</t>
  </si>
  <si>
    <t>Bank Statement Reference</t>
  </si>
  <si>
    <t>Date of Reg</t>
  </si>
  <si>
    <t>Employer Number</t>
  </si>
  <si>
    <t>Employer Name</t>
  </si>
  <si>
    <t>00</t>
  </si>
  <si>
    <t>Bane</t>
  </si>
  <si>
    <t>Ura</t>
  </si>
  <si>
    <t>Hauhi</t>
  </si>
  <si>
    <t>Kevin</t>
  </si>
  <si>
    <t>Amos</t>
  </si>
  <si>
    <t>Muka</t>
  </si>
  <si>
    <t>Alfred</t>
  </si>
  <si>
    <t>Joe</t>
  </si>
  <si>
    <t>Bauseme</t>
  </si>
  <si>
    <t>Michael</t>
  </si>
  <si>
    <t>Mou</t>
  </si>
  <si>
    <t>Sarea</t>
  </si>
  <si>
    <t>Pital</t>
  </si>
  <si>
    <t>Wesley</t>
  </si>
  <si>
    <t>Denana</t>
  </si>
  <si>
    <t>Melton</t>
  </si>
  <si>
    <t>Willie</t>
  </si>
  <si>
    <t>Mary Frances</t>
  </si>
  <si>
    <t>Johnnie</t>
  </si>
  <si>
    <t>Ganguga</t>
  </si>
  <si>
    <t>Urapo</t>
  </si>
  <si>
    <t>Yama</t>
  </si>
  <si>
    <t>Saku</t>
  </si>
  <si>
    <t>Osberth</t>
  </si>
  <si>
    <t>Timothy</t>
  </si>
  <si>
    <t>LKL-019</t>
  </si>
  <si>
    <t>08-004</t>
  </si>
  <si>
    <t>08-026</t>
  </si>
  <si>
    <t>LKL-011</t>
  </si>
  <si>
    <t>Gima</t>
  </si>
  <si>
    <t>Russel</t>
  </si>
  <si>
    <t>Nasie</t>
  </si>
  <si>
    <t>Koivi</t>
  </si>
  <si>
    <t>Bei</t>
  </si>
  <si>
    <t>Beven</t>
  </si>
  <si>
    <t>Aue</t>
  </si>
  <si>
    <t>Olema</t>
  </si>
  <si>
    <t>Martin</t>
  </si>
  <si>
    <t>Junior</t>
  </si>
  <si>
    <t>Danny</t>
  </si>
  <si>
    <t>Allan</t>
  </si>
  <si>
    <t>Hairi</t>
  </si>
  <si>
    <t>Levo</t>
  </si>
  <si>
    <t>Marty</t>
  </si>
  <si>
    <t>Eric</t>
  </si>
  <si>
    <t>Ipoite</t>
  </si>
  <si>
    <t>Claudy</t>
  </si>
  <si>
    <t>Ua</t>
  </si>
  <si>
    <t>Valavu</t>
  </si>
  <si>
    <t>Elaine</t>
  </si>
  <si>
    <t>Francis</t>
  </si>
  <si>
    <t>Hayness</t>
  </si>
  <si>
    <t>Gamara</t>
  </si>
  <si>
    <t>Ruba</t>
  </si>
  <si>
    <t>Urada</t>
  </si>
  <si>
    <t>Janet</t>
  </si>
  <si>
    <t>Nuani</t>
  </si>
  <si>
    <t>Lani</t>
  </si>
  <si>
    <t>Lavina</t>
  </si>
  <si>
    <t>Sibona</t>
  </si>
  <si>
    <t>Tawara</t>
  </si>
  <si>
    <t>Tele</t>
  </si>
  <si>
    <t>24092026131934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</si>
</sst>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0"/>
    <numFmt numFmtId="165" formatCode="dd/mm/yyyy;@"/>
    <numFmt numFmtId="166" formatCode="000"/>
    <numFmt numFmtId="167" formatCode="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Fill="1"/>
    <xf numFmtId="0" fontId="0" fillId="0" borderId="0" xfId="1" applyNumberFormat="1" applyFont="1" applyFill="1"/>
    <xf numFmtId="0" fontId="0" fillId="0" borderId="0" xfId="0" applyBorder="1"/>
    <xf numFmtId="43" fontId="3" fillId="0" borderId="1" xfId="1" applyFont="1" applyFill="1" applyBorder="1"/>
    <xf numFmtId="0" fontId="0" fillId="2" borderId="1" xfId="0" applyFill="1" applyBorder="1"/>
    <xf numFmtId="0" fontId="0" fillId="2" borderId="1" xfId="0" applyNumberFormat="1" applyFill="1" applyBorder="1"/>
    <xf numFmtId="164" fontId="4" fillId="0" borderId="0" xfId="0" applyNumberFormat="1" applyFont="1" applyAlignment="1">
      <alignment horizontal="left"/>
    </xf>
    <xf numFmtId="165" fontId="5" fillId="0" borderId="2" xfId="0" applyNumberFormat="1" applyFont="1" applyFill="1" applyBorder="1" applyAlignment="1">
      <alignment horizontal="right"/>
    </xf>
    <xf numFmtId="0" fontId="0" fillId="0" borderId="2" xfId="1" applyNumberFormat="1" applyFont="1" applyFill="1" applyBorder="1"/>
    <xf numFmtId="0" fontId="6" fillId="0" borderId="2" xfId="1" applyNumberFormat="1" applyFont="1" applyFill="1" applyBorder="1"/>
    <xf numFmtId="0" fontId="0" fillId="3" borderId="2" xfId="0" applyFill="1" applyBorder="1"/>
    <xf numFmtId="0" fontId="0" fillId="3" borderId="2" xfId="1" applyNumberFormat="1" applyFont="1" applyFill="1" applyBorder="1"/>
    <xf numFmtId="43" fontId="7" fillId="0" borderId="2" xfId="1" applyFont="1" applyFill="1" applyBorder="1" applyAlignment="1">
      <alignment vertical="center"/>
    </xf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166" fontId="3" fillId="0" borderId="0" xfId="0" applyNumberFormat="1" applyFont="1" applyFill="1"/>
    <xf numFmtId="165" fontId="5" fillId="0" borderId="2" xfId="0" applyNumberFormat="1" applyFont="1" applyFill="1" applyBorder="1"/>
    <xf numFmtId="165" fontId="5" fillId="0" borderId="2" xfId="0" applyNumberFormat="1" applyFont="1" applyBorder="1" applyAlignment="1">
      <alignment horizontal="right"/>
    </xf>
    <xf numFmtId="165" fontId="5" fillId="2" borderId="2" xfId="0" applyNumberFormat="1" applyFont="1" applyFill="1" applyBorder="1"/>
    <xf numFmtId="0" fontId="3" fillId="0" borderId="0" xfId="0" applyFont="1"/>
    <xf numFmtId="0" fontId="2" fillId="0" borderId="0" xfId="0" applyFont="1"/>
    <xf numFmtId="0" fontId="3" fillId="4" borderId="0" xfId="0" applyFont="1" applyFill="1"/>
    <xf numFmtId="0" fontId="3" fillId="0" borderId="0" xfId="0" applyFont="1" applyFill="1"/>
    <xf numFmtId="0" fontId="3" fillId="0" borderId="0" xfId="1" applyNumberFormat="1" applyFont="1" applyFill="1"/>
    <xf numFmtId="0" fontId="2" fillId="0" borderId="0" xfId="0" applyFont="1" applyFill="1"/>
    <xf numFmtId="49" fontId="3" fillId="0" borderId="0" xfId="0" applyNumberFormat="1" applyFont="1"/>
    <xf numFmtId="0" fontId="5" fillId="0" borderId="0" xfId="0" applyFont="1"/>
    <xf numFmtId="0" fontId="5" fillId="0" borderId="0" xfId="0" applyFont="1" applyFill="1"/>
    <xf numFmtId="0" fontId="5" fillId="0" borderId="0" xfId="1" applyNumberFormat="1" applyFont="1" applyFill="1"/>
    <xf numFmtId="49" fontId="6" fillId="5" borderId="0" xfId="3" applyNumberFormat="1" applyFont="1" applyFill="1" applyBorder="1" applyAlignment="1">
      <alignment horizontal="right"/>
    </xf>
    <xf numFmtId="14" fontId="8" fillId="5" borderId="0" xfId="0" applyNumberFormat="1" applyFont="1" applyFill="1"/>
    <xf numFmtId="167" fontId="0" fillId="5" borderId="0" xfId="0" applyNumberFormat="1" applyFill="1" applyAlignment="1">
      <alignment horizontal="center"/>
    </xf>
    <xf numFmtId="0" fontId="0" fillId="5" borderId="0" xfId="0" applyFill="1"/>
    <xf numFmtId="49" fontId="2" fillId="0" borderId="0" xfId="0" applyNumberFormat="1" applyFont="1"/>
    <xf numFmtId="9" fontId="0" fillId="0" borderId="0" xfId="2" applyFont="1" applyFill="1"/>
    <xf numFmtId="0" fontId="0" fillId="0" borderId="2" xfId="0" quotePrefix="1" applyFill="1" applyBorder="1" applyAlignment="1">
      <alignment horizontal="center"/>
    </xf>
    <xf numFmtId="0" fontId="0" fillId="2" borderId="2" xfId="0" quotePrefix="1" applyFill="1" applyBorder="1" applyAlignment="1">
      <alignment horizontal="center"/>
    </xf>
    <xf numFmtId="166" fontId="5" fillId="0" borderId="2" xfId="0" applyNumberFormat="1" applyFont="1" applyFill="1" applyBorder="1" applyAlignment="1">
      <alignment horizontal="center"/>
    </xf>
    <xf numFmtId="166" fontId="5" fillId="2" borderId="2" xfId="0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0" fillId="2" borderId="2" xfId="0" applyFill="1" applyBorder="1"/>
    <xf numFmtId="0" fontId="0" fillId="6" borderId="2" xfId="0" applyFill="1" applyBorder="1" applyAlignment="1">
      <alignment horizontal="center" vertical="center"/>
    </xf>
    <xf numFmtId="0" fontId="0" fillId="2" borderId="2" xfId="0" quotePrefix="1" applyNumberFormat="1" applyFill="1" applyBorder="1" applyAlignment="1">
      <alignment horizontal="center"/>
    </xf>
  </cellXfs>
  <cellStyles count="4">
    <cellStyle name="Comma" xfId="1" builtinId="3"/>
    <cellStyle name="Comma 2" xfId="3" xr:uid="{00000000-0005-0000-0000-000001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S40"/>
  <sheetViews>
    <sheetView tabSelected="1" zoomScale="70" zoomScaleNormal="70" workbookViewId="0">
      <pane ySplit="3" topLeftCell="A4" activePane="bottomLeft" state="frozen"/>
      <selection activeCell="I27" sqref="I27"/>
      <selection pane="bottomLeft" activeCell="F14" sqref="F14"/>
    </sheetView>
  </sheetViews>
  <sheetFormatPr defaultColWidth="16.7109375" defaultRowHeight="15" x14ac:dyDescent="0.25"/>
  <cols>
    <col min="1" max="1" width="4.42578125" customWidth="1"/>
    <col min="2" max="2" width="17.28515625" customWidth="1"/>
    <col min="3" max="3" width="18.140625" customWidth="1"/>
    <col min="4" max="4" width="14" customWidth="1"/>
    <col min="5" max="5" width="16.140625" customWidth="1"/>
    <col min="6" max="6" width="15.85546875" bestFit="1" customWidth="1"/>
    <col min="7" max="7" width="15" style="1" bestFit="1" customWidth="1"/>
    <col min="8" max="8" width="10.140625" customWidth="1"/>
    <col min="9" max="9" width="11.140625" style="2" customWidth="1"/>
    <col min="10" max="10" width="10.28515625" style="1" customWidth="1"/>
    <col min="11" max="11" width="8.85546875" style="1" customWidth="1"/>
    <col min="12" max="12" width="18.140625" bestFit="1" customWidth="1"/>
    <col min="13" max="14" width="12.140625" customWidth="1"/>
    <col min="15" max="15" width="12.28515625" style="1" customWidth="1"/>
    <col min="16" max="16" width="13" style="1" customWidth="1"/>
    <col min="17" max="17" width="9.7109375" style="1" customWidth="1"/>
    <col min="18" max="18" width="14" bestFit="1" customWidth="1"/>
    <col min="19" max="19" width="15.5703125" customWidth="1"/>
  </cols>
  <sheetData>
    <row r="1" spans="1:19" x14ac:dyDescent="0.25">
      <c r="A1" s="26" t="s">
        <v>35</v>
      </c>
      <c r="B1" s="20" t="s">
        <v>34</v>
      </c>
      <c r="C1" s="20" t="s">
        <v>33</v>
      </c>
      <c r="D1" s="20" t="s">
        <v>32</v>
      </c>
      <c r="E1" s="20" t="s">
        <v>31</v>
      </c>
      <c r="K1" s="35"/>
    </row>
    <row r="2" spans="1:19" s="27" customFormat="1" x14ac:dyDescent="0.25">
      <c r="A2" s="34" t="s">
        <v>30</v>
      </c>
      <c r="B2" s="33" t="s">
        <v>29</v>
      </c>
      <c r="C2" s="32">
        <v>131934</v>
      </c>
      <c r="D2" s="31" t="s">
        <v>28</v>
      </c>
      <c r="E2" s="30" t="s">
        <v>98</v>
      </c>
      <c r="G2" s="28"/>
      <c r="I2" s="29"/>
      <c r="J2" s="28"/>
      <c r="K2" s="28"/>
      <c r="M2" s="28"/>
      <c r="N2" s="28"/>
      <c r="O2" s="28"/>
      <c r="P2" s="28"/>
      <c r="Q2" s="28"/>
    </row>
    <row r="3" spans="1:19" s="20" customFormat="1" x14ac:dyDescent="0.25">
      <c r="A3" s="26" t="s">
        <v>27</v>
      </c>
      <c r="B3" s="21" t="s">
        <v>26</v>
      </c>
      <c r="C3" s="21" t="s">
        <v>25</v>
      </c>
      <c r="D3" s="21" t="s">
        <v>24</v>
      </c>
      <c r="E3" s="21" t="s">
        <v>23</v>
      </c>
      <c r="F3" s="21" t="s">
        <v>22</v>
      </c>
      <c r="G3" s="25" t="s">
        <v>21</v>
      </c>
      <c r="H3" s="20" t="s">
        <v>20</v>
      </c>
      <c r="I3" s="24" t="s">
        <v>19</v>
      </c>
      <c r="J3" s="23" t="s">
        <v>18</v>
      </c>
      <c r="K3" s="23" t="s">
        <v>17</v>
      </c>
      <c r="L3" s="22" t="s">
        <v>16</v>
      </c>
      <c r="M3" s="22" t="s">
        <v>15</v>
      </c>
      <c r="N3" s="22" t="s">
        <v>14</v>
      </c>
      <c r="O3" s="22" t="s">
        <v>13</v>
      </c>
      <c r="P3" s="22" t="s">
        <v>12</v>
      </c>
      <c r="Q3" s="22" t="s">
        <v>11</v>
      </c>
      <c r="R3" s="20" t="s">
        <v>10</v>
      </c>
      <c r="S3" s="21" t="s">
        <v>9</v>
      </c>
    </row>
    <row r="4" spans="1:19" s="1" customFormat="1" x14ac:dyDescent="0.25">
      <c r="A4" s="16" t="s">
        <v>0</v>
      </c>
      <c r="B4" s="36">
        <v>9565419</v>
      </c>
      <c r="C4" s="14" t="s">
        <v>92</v>
      </c>
      <c r="D4" s="14" t="s">
        <v>93</v>
      </c>
      <c r="E4" s="40">
        <v>123</v>
      </c>
      <c r="F4" s="17">
        <v>26091</v>
      </c>
      <c r="G4" s="13">
        <v>819</v>
      </c>
      <c r="H4" s="11"/>
      <c r="I4" s="12"/>
      <c r="J4" s="11"/>
      <c r="K4" s="11"/>
      <c r="L4" s="10">
        <f t="shared" ref="L4" si="0">ROUND(G4*8.4%,2)</f>
        <v>68.8</v>
      </c>
      <c r="M4" s="10">
        <f t="shared" ref="M4" si="1">ROUND(G4*6%,2)</f>
        <v>49.14</v>
      </c>
      <c r="N4" s="10">
        <f t="shared" ref="N4" si="2">ROUND(G4*H4%,2)</f>
        <v>0</v>
      </c>
      <c r="O4" s="10">
        <f t="shared" ref="O4" si="3">ROUND(G4*I4%,2)</f>
        <v>0</v>
      </c>
      <c r="P4" s="10">
        <f t="shared" ref="P4" si="4">ROUND(G4*J4%,2)</f>
        <v>0</v>
      </c>
      <c r="Q4" s="9">
        <f t="shared" ref="Q4" si="5">ROUND(G4*K4%,2)</f>
        <v>0</v>
      </c>
      <c r="R4" s="9">
        <f t="shared" ref="R4" si="6">SUM(L4:Q4)</f>
        <v>117.94</v>
      </c>
      <c r="S4" s="8">
        <v>44336</v>
      </c>
    </row>
    <row r="5" spans="1:19" s="1" customFormat="1" x14ac:dyDescent="0.25">
      <c r="A5" s="16" t="s">
        <v>0</v>
      </c>
      <c r="B5" s="36">
        <v>9682341</v>
      </c>
      <c r="C5" s="14" t="s">
        <v>8</v>
      </c>
      <c r="D5" s="14" t="s">
        <v>7</v>
      </c>
      <c r="E5" s="38">
        <v>185</v>
      </c>
      <c r="F5" s="17">
        <v>33761</v>
      </c>
      <c r="G5" s="13">
        <v>546</v>
      </c>
      <c r="H5" s="11"/>
      <c r="I5" s="12"/>
      <c r="J5" s="11"/>
      <c r="K5" s="11"/>
      <c r="L5" s="10">
        <f t="shared" ref="L5:L16" si="7">ROUND(G5*8.4%,2)</f>
        <v>45.86</v>
      </c>
      <c r="M5" s="10">
        <f t="shared" ref="M5:M16" si="8">ROUND(G5*6%,2)</f>
        <v>32.76</v>
      </c>
      <c r="N5" s="10">
        <f t="shared" ref="N5:N16" si="9">ROUND(G5*H5%,2)</f>
        <v>0</v>
      </c>
      <c r="O5" s="10">
        <f t="shared" ref="O5:O16" si="10">ROUND(G5*I5%,2)</f>
        <v>0</v>
      </c>
      <c r="P5" s="10">
        <f t="shared" ref="P5:P16" si="11">ROUND(G5*J5%,2)</f>
        <v>0</v>
      </c>
      <c r="Q5" s="9">
        <f t="shared" ref="Q5:Q16" si="12">ROUND(G5*K5%,2)</f>
        <v>0</v>
      </c>
      <c r="R5" s="9">
        <f t="shared" ref="R5:R16" si="13">SUM(L5:Q5)</f>
        <v>78.62</v>
      </c>
      <c r="S5" s="8">
        <v>44131</v>
      </c>
    </row>
    <row r="6" spans="1:19" s="1" customFormat="1" x14ac:dyDescent="0.25">
      <c r="A6" s="16" t="s">
        <v>0</v>
      </c>
      <c r="B6" s="36">
        <v>9692507</v>
      </c>
      <c r="C6" s="14" t="s">
        <v>6</v>
      </c>
      <c r="D6" s="14" t="s">
        <v>94</v>
      </c>
      <c r="E6" s="38">
        <v>192</v>
      </c>
      <c r="F6" s="17">
        <v>33698</v>
      </c>
      <c r="G6" s="13">
        <v>741</v>
      </c>
      <c r="H6" s="11"/>
      <c r="I6" s="12"/>
      <c r="J6" s="11"/>
      <c r="K6" s="11"/>
      <c r="L6" s="10">
        <f t="shared" si="7"/>
        <v>62.24</v>
      </c>
      <c r="M6" s="10">
        <f t="shared" si="8"/>
        <v>44.46</v>
      </c>
      <c r="N6" s="10">
        <f t="shared" si="9"/>
        <v>0</v>
      </c>
      <c r="O6" s="10">
        <f t="shared" si="10"/>
        <v>0</v>
      </c>
      <c r="P6" s="10">
        <f t="shared" si="11"/>
        <v>0</v>
      </c>
      <c r="Q6" s="9">
        <f t="shared" si="12"/>
        <v>0</v>
      </c>
      <c r="R6" s="9">
        <f t="shared" si="13"/>
        <v>106.7</v>
      </c>
      <c r="S6" s="8">
        <v>44144</v>
      </c>
    </row>
    <row r="7" spans="1:19" s="1" customFormat="1" x14ac:dyDescent="0.25">
      <c r="A7" s="16" t="s">
        <v>0</v>
      </c>
      <c r="B7" s="36">
        <v>9868824</v>
      </c>
      <c r="C7" s="14" t="s">
        <v>36</v>
      </c>
      <c r="D7" s="14" t="s">
        <v>37</v>
      </c>
      <c r="E7" s="38">
        <v>242</v>
      </c>
      <c r="F7" s="17">
        <v>25616</v>
      </c>
      <c r="G7" s="13">
        <v>504</v>
      </c>
      <c r="H7" s="11"/>
      <c r="I7" s="12"/>
      <c r="J7" s="11"/>
      <c r="K7" s="11"/>
      <c r="L7" s="10">
        <f t="shared" si="7"/>
        <v>42.34</v>
      </c>
      <c r="M7" s="10">
        <f t="shared" si="8"/>
        <v>30.24</v>
      </c>
      <c r="N7" s="10">
        <f t="shared" si="9"/>
        <v>0</v>
      </c>
      <c r="O7" s="10">
        <f t="shared" si="10"/>
        <v>0</v>
      </c>
      <c r="P7" s="10">
        <f t="shared" si="11"/>
        <v>0</v>
      </c>
      <c r="Q7" s="9">
        <f t="shared" si="12"/>
        <v>0</v>
      </c>
      <c r="R7" s="9">
        <f t="shared" si="13"/>
        <v>72.58</v>
      </c>
      <c r="S7" s="8">
        <v>44314</v>
      </c>
    </row>
    <row r="8" spans="1:19" s="1" customFormat="1" x14ac:dyDescent="0.25">
      <c r="A8" s="16" t="s">
        <v>0</v>
      </c>
      <c r="B8" s="36">
        <v>9868716</v>
      </c>
      <c r="C8" s="14" t="s">
        <v>38</v>
      </c>
      <c r="D8" s="14" t="s">
        <v>39</v>
      </c>
      <c r="E8" s="38">
        <v>262</v>
      </c>
      <c r="F8" s="17">
        <v>29012</v>
      </c>
      <c r="G8" s="13">
        <v>462</v>
      </c>
      <c r="H8" s="11"/>
      <c r="I8" s="12"/>
      <c r="J8" s="11"/>
      <c r="K8" s="11"/>
      <c r="L8" s="10">
        <f t="shared" si="7"/>
        <v>38.81</v>
      </c>
      <c r="M8" s="10">
        <f t="shared" si="8"/>
        <v>27.72</v>
      </c>
      <c r="N8" s="10">
        <f t="shared" si="9"/>
        <v>0</v>
      </c>
      <c r="O8" s="10">
        <f t="shared" si="10"/>
        <v>0</v>
      </c>
      <c r="P8" s="10">
        <f t="shared" si="11"/>
        <v>0</v>
      </c>
      <c r="Q8" s="9">
        <f t="shared" si="12"/>
        <v>0</v>
      </c>
      <c r="R8" s="9">
        <f t="shared" si="13"/>
        <v>66.53</v>
      </c>
      <c r="S8" s="8">
        <v>44487</v>
      </c>
    </row>
    <row r="9" spans="1:19" s="1" customFormat="1" x14ac:dyDescent="0.25">
      <c r="A9" s="16" t="s">
        <v>0</v>
      </c>
      <c r="B9" s="15">
        <v>9573509</v>
      </c>
      <c r="C9" s="14" t="s">
        <v>5</v>
      </c>
      <c r="D9" s="14" t="s">
        <v>85</v>
      </c>
      <c r="E9" s="38">
        <v>265</v>
      </c>
      <c r="F9" s="17">
        <v>36473</v>
      </c>
      <c r="G9" s="13">
        <v>588</v>
      </c>
      <c r="H9" s="11"/>
      <c r="I9" s="12"/>
      <c r="J9" s="11"/>
      <c r="K9" s="11"/>
      <c r="L9" s="10">
        <f t="shared" si="7"/>
        <v>49.39</v>
      </c>
      <c r="M9" s="10">
        <f t="shared" si="8"/>
        <v>35.28</v>
      </c>
      <c r="N9" s="10">
        <f t="shared" si="9"/>
        <v>0</v>
      </c>
      <c r="O9" s="10">
        <f t="shared" si="10"/>
        <v>0</v>
      </c>
      <c r="P9" s="10">
        <f t="shared" si="11"/>
        <v>0</v>
      </c>
      <c r="Q9" s="9">
        <f t="shared" si="12"/>
        <v>0</v>
      </c>
      <c r="R9" s="9">
        <f t="shared" si="13"/>
        <v>84.67</v>
      </c>
      <c r="S9" s="8">
        <v>44643</v>
      </c>
    </row>
    <row r="10" spans="1:19" s="1" customFormat="1" x14ac:dyDescent="0.25">
      <c r="A10" s="16" t="s">
        <v>0</v>
      </c>
      <c r="B10" s="15">
        <v>9944725</v>
      </c>
      <c r="C10" s="14" t="s">
        <v>78</v>
      </c>
      <c r="D10" s="14" t="s">
        <v>3</v>
      </c>
      <c r="E10" s="38">
        <v>285</v>
      </c>
      <c r="F10" s="17">
        <v>32590</v>
      </c>
      <c r="G10" s="13">
        <v>546</v>
      </c>
      <c r="H10" s="11"/>
      <c r="I10" s="12"/>
      <c r="J10" s="11"/>
      <c r="K10" s="11"/>
      <c r="L10" s="10">
        <f t="shared" si="7"/>
        <v>45.86</v>
      </c>
      <c r="M10" s="10">
        <f t="shared" si="8"/>
        <v>32.76</v>
      </c>
      <c r="N10" s="10">
        <f t="shared" si="9"/>
        <v>0</v>
      </c>
      <c r="O10" s="10">
        <f t="shared" si="10"/>
        <v>0</v>
      </c>
      <c r="P10" s="10">
        <f t="shared" si="11"/>
        <v>0</v>
      </c>
      <c r="Q10" s="9">
        <f t="shared" si="12"/>
        <v>0</v>
      </c>
      <c r="R10" s="9">
        <f t="shared" si="13"/>
        <v>78.62</v>
      </c>
      <c r="S10" s="8">
        <v>44624</v>
      </c>
    </row>
    <row r="11" spans="1:19" s="1" customFormat="1" x14ac:dyDescent="0.25">
      <c r="A11" s="16" t="s">
        <v>0</v>
      </c>
      <c r="B11" s="15">
        <v>9868720</v>
      </c>
      <c r="C11" s="14" t="s">
        <v>4</v>
      </c>
      <c r="D11" s="14" t="s">
        <v>3</v>
      </c>
      <c r="E11" s="38">
        <v>292</v>
      </c>
      <c r="F11" s="17">
        <v>31610</v>
      </c>
      <c r="G11" s="13">
        <v>609</v>
      </c>
      <c r="H11" s="11"/>
      <c r="I11" s="12"/>
      <c r="J11" s="11"/>
      <c r="K11" s="11"/>
      <c r="L11" s="10">
        <f t="shared" si="7"/>
        <v>51.16</v>
      </c>
      <c r="M11" s="10">
        <f t="shared" si="8"/>
        <v>36.54</v>
      </c>
      <c r="N11" s="10">
        <f t="shared" si="9"/>
        <v>0</v>
      </c>
      <c r="O11" s="10">
        <f t="shared" si="10"/>
        <v>0</v>
      </c>
      <c r="P11" s="10">
        <f t="shared" si="11"/>
        <v>0</v>
      </c>
      <c r="Q11" s="9">
        <f t="shared" si="12"/>
        <v>0</v>
      </c>
      <c r="R11" s="9">
        <f t="shared" si="13"/>
        <v>87.699999999999989</v>
      </c>
      <c r="S11" s="8">
        <v>44708</v>
      </c>
    </row>
    <row r="12" spans="1:19" s="1" customFormat="1" x14ac:dyDescent="0.25">
      <c r="A12" s="16" t="s">
        <v>0</v>
      </c>
      <c r="B12" s="15">
        <v>9868719</v>
      </c>
      <c r="C12" s="14" t="s">
        <v>83</v>
      </c>
      <c r="D12" s="14" t="s">
        <v>84</v>
      </c>
      <c r="E12" s="38">
        <v>299</v>
      </c>
      <c r="F12" s="17">
        <v>36157</v>
      </c>
      <c r="G12" s="13">
        <v>462</v>
      </c>
      <c r="H12" s="11"/>
      <c r="I12" s="12"/>
      <c r="J12" s="11"/>
      <c r="K12" s="11"/>
      <c r="L12" s="10">
        <f t="shared" si="7"/>
        <v>38.81</v>
      </c>
      <c r="M12" s="10">
        <f t="shared" si="8"/>
        <v>27.72</v>
      </c>
      <c r="N12" s="10">
        <f t="shared" si="9"/>
        <v>0</v>
      </c>
      <c r="O12" s="10">
        <f t="shared" si="10"/>
        <v>0</v>
      </c>
      <c r="P12" s="10">
        <f t="shared" si="11"/>
        <v>0</v>
      </c>
      <c r="Q12" s="9">
        <f t="shared" si="12"/>
        <v>0</v>
      </c>
      <c r="R12" s="9">
        <f t="shared" si="13"/>
        <v>66.53</v>
      </c>
      <c r="S12" s="8">
        <v>44803</v>
      </c>
    </row>
    <row r="13" spans="1:19" s="1" customFormat="1" x14ac:dyDescent="0.25">
      <c r="A13" s="16" t="s">
        <v>0</v>
      </c>
      <c r="B13" s="37">
        <v>9694637</v>
      </c>
      <c r="C13" s="41" t="s">
        <v>2</v>
      </c>
      <c r="D13" s="41" t="s">
        <v>1</v>
      </c>
      <c r="E13" s="39">
        <v>368</v>
      </c>
      <c r="F13" s="19">
        <v>34679</v>
      </c>
      <c r="G13" s="13">
        <v>420</v>
      </c>
      <c r="H13" s="11"/>
      <c r="I13" s="12"/>
      <c r="J13" s="11"/>
      <c r="K13" s="11"/>
      <c r="L13" s="10">
        <f t="shared" si="7"/>
        <v>35.28</v>
      </c>
      <c r="M13" s="10">
        <f t="shared" si="8"/>
        <v>25.2</v>
      </c>
      <c r="N13" s="10">
        <f t="shared" si="9"/>
        <v>0</v>
      </c>
      <c r="O13" s="10">
        <f t="shared" si="10"/>
        <v>0</v>
      </c>
      <c r="P13" s="10">
        <f t="shared" si="11"/>
        <v>0</v>
      </c>
      <c r="Q13" s="9">
        <f t="shared" si="12"/>
        <v>0</v>
      </c>
      <c r="R13" s="9">
        <f t="shared" si="13"/>
        <v>60.480000000000004</v>
      </c>
      <c r="S13" s="18">
        <v>44957</v>
      </c>
    </row>
    <row r="14" spans="1:19" s="1" customFormat="1" x14ac:dyDescent="0.25">
      <c r="A14" s="16" t="s">
        <v>0</v>
      </c>
      <c r="B14" s="37">
        <v>9583396</v>
      </c>
      <c r="C14" s="41" t="s">
        <v>5</v>
      </c>
      <c r="D14" s="41" t="s">
        <v>53</v>
      </c>
      <c r="E14" s="39">
        <v>369</v>
      </c>
      <c r="F14" s="19">
        <v>35319</v>
      </c>
      <c r="G14" s="13">
        <v>462</v>
      </c>
      <c r="H14" s="11"/>
      <c r="I14" s="12"/>
      <c r="J14" s="11"/>
      <c r="K14" s="11"/>
      <c r="L14" s="10">
        <f t="shared" si="7"/>
        <v>38.81</v>
      </c>
      <c r="M14" s="10">
        <f t="shared" si="8"/>
        <v>27.72</v>
      </c>
      <c r="N14" s="10">
        <f t="shared" si="9"/>
        <v>0</v>
      </c>
      <c r="O14" s="10">
        <f t="shared" si="10"/>
        <v>0</v>
      </c>
      <c r="P14" s="10">
        <f t="shared" si="11"/>
        <v>0</v>
      </c>
      <c r="Q14" s="9">
        <f t="shared" si="12"/>
        <v>0</v>
      </c>
      <c r="R14" s="9">
        <f t="shared" si="13"/>
        <v>66.53</v>
      </c>
      <c r="S14" s="18">
        <v>44970</v>
      </c>
    </row>
    <row r="15" spans="1:19" s="1" customFormat="1" x14ac:dyDescent="0.25">
      <c r="A15" s="16" t="s">
        <v>0</v>
      </c>
      <c r="B15" s="37">
        <v>9931158</v>
      </c>
      <c r="C15" s="41" t="s">
        <v>67</v>
      </c>
      <c r="D15" s="41" t="s">
        <v>68</v>
      </c>
      <c r="E15" s="39">
        <v>387</v>
      </c>
      <c r="F15" s="19">
        <v>31386</v>
      </c>
      <c r="G15" s="13">
        <v>462</v>
      </c>
      <c r="H15" s="11"/>
      <c r="I15" s="12"/>
      <c r="J15" s="11"/>
      <c r="K15" s="11"/>
      <c r="L15" s="10">
        <f t="shared" si="7"/>
        <v>38.81</v>
      </c>
      <c r="M15" s="10">
        <f t="shared" si="8"/>
        <v>27.72</v>
      </c>
      <c r="N15" s="10">
        <f t="shared" si="9"/>
        <v>0</v>
      </c>
      <c r="O15" s="10">
        <f t="shared" si="10"/>
        <v>0</v>
      </c>
      <c r="P15" s="10">
        <f t="shared" si="11"/>
        <v>0</v>
      </c>
      <c r="Q15" s="9">
        <f t="shared" si="12"/>
        <v>0</v>
      </c>
      <c r="R15" s="9">
        <f t="shared" si="13"/>
        <v>66.53</v>
      </c>
      <c r="S15" s="18">
        <v>45135</v>
      </c>
    </row>
    <row r="16" spans="1:19" s="1" customFormat="1" x14ac:dyDescent="0.25">
      <c r="A16" s="16" t="s">
        <v>0</v>
      </c>
      <c r="B16" s="42">
        <v>9908518</v>
      </c>
      <c r="C16" s="41" t="s">
        <v>41</v>
      </c>
      <c r="D16" s="41" t="s">
        <v>40</v>
      </c>
      <c r="E16" s="39">
        <v>388</v>
      </c>
      <c r="F16" s="19">
        <v>30401</v>
      </c>
      <c r="G16" s="13">
        <v>242.15</v>
      </c>
      <c r="H16" s="11"/>
      <c r="I16" s="12"/>
      <c r="J16" s="11"/>
      <c r="K16" s="11"/>
      <c r="L16" s="10">
        <f t="shared" si="7"/>
        <v>20.34</v>
      </c>
      <c r="M16" s="10">
        <f t="shared" si="8"/>
        <v>14.53</v>
      </c>
      <c r="N16" s="10">
        <f t="shared" si="9"/>
        <v>0</v>
      </c>
      <c r="O16" s="10">
        <f t="shared" si="10"/>
        <v>0</v>
      </c>
      <c r="P16" s="10">
        <f t="shared" si="11"/>
        <v>0</v>
      </c>
      <c r="Q16" s="9">
        <f t="shared" si="12"/>
        <v>0</v>
      </c>
      <c r="R16" s="9">
        <f t="shared" si="13"/>
        <v>34.869999999999997</v>
      </c>
      <c r="S16" s="18">
        <v>45135</v>
      </c>
    </row>
    <row r="17" spans="1:19" s="1" customFormat="1" x14ac:dyDescent="0.25">
      <c r="A17" s="16" t="s">
        <v>0</v>
      </c>
      <c r="B17" s="42">
        <v>9913488</v>
      </c>
      <c r="C17" s="41" t="s">
        <v>44</v>
      </c>
      <c r="D17" s="41" t="s">
        <v>45</v>
      </c>
      <c r="E17" s="39">
        <v>402</v>
      </c>
      <c r="F17" s="19">
        <v>34844</v>
      </c>
      <c r="G17" s="13">
        <v>462</v>
      </c>
      <c r="H17" s="11"/>
      <c r="I17" s="12"/>
      <c r="J17" s="11"/>
      <c r="K17" s="11"/>
      <c r="L17" s="10">
        <f t="shared" ref="L17:L33" si="14">ROUND(G17*8.4%,2)</f>
        <v>38.81</v>
      </c>
      <c r="M17" s="10">
        <f t="shared" ref="M17:M33" si="15">ROUND(G17*6%,2)</f>
        <v>27.72</v>
      </c>
      <c r="N17" s="10">
        <f t="shared" ref="N17:N33" si="16">ROUND(G17*H17%,2)</f>
        <v>0</v>
      </c>
      <c r="O17" s="10">
        <f t="shared" ref="O17:O33" si="17">ROUND(G17*I17%,2)</f>
        <v>0</v>
      </c>
      <c r="P17" s="10">
        <f t="shared" ref="P17:P33" si="18">ROUND(G17*J17%,2)</f>
        <v>0</v>
      </c>
      <c r="Q17" s="9">
        <f t="shared" ref="Q17:Q33" si="19">ROUND(G17*K17%,2)</f>
        <v>0</v>
      </c>
      <c r="R17" s="9">
        <f t="shared" ref="R17:R33" si="20">SUM(L17:Q17)</f>
        <v>66.53</v>
      </c>
      <c r="S17" s="18">
        <v>45188</v>
      </c>
    </row>
    <row r="18" spans="1:19" s="1" customFormat="1" x14ac:dyDescent="0.25">
      <c r="A18" s="16" t="s">
        <v>0</v>
      </c>
      <c r="B18" s="42">
        <v>9972008</v>
      </c>
      <c r="C18" s="41" t="s">
        <v>86</v>
      </c>
      <c r="D18" s="41" t="s">
        <v>42</v>
      </c>
      <c r="E18" s="39">
        <v>405</v>
      </c>
      <c r="F18" s="19">
        <v>36989</v>
      </c>
      <c r="G18" s="13">
        <v>420</v>
      </c>
      <c r="H18" s="11"/>
      <c r="I18" s="12"/>
      <c r="J18" s="11"/>
      <c r="K18" s="11"/>
      <c r="L18" s="10">
        <f t="shared" si="14"/>
        <v>35.28</v>
      </c>
      <c r="M18" s="10">
        <f t="shared" si="15"/>
        <v>25.2</v>
      </c>
      <c r="N18" s="10">
        <f t="shared" si="16"/>
        <v>0</v>
      </c>
      <c r="O18" s="10">
        <f t="shared" si="17"/>
        <v>0</v>
      </c>
      <c r="P18" s="10">
        <f t="shared" si="18"/>
        <v>0</v>
      </c>
      <c r="Q18" s="9">
        <f t="shared" si="19"/>
        <v>0</v>
      </c>
      <c r="R18" s="9">
        <f t="shared" si="20"/>
        <v>60.480000000000004</v>
      </c>
      <c r="S18" s="18">
        <v>45201</v>
      </c>
    </row>
    <row r="19" spans="1:19" s="1" customFormat="1" x14ac:dyDescent="0.25">
      <c r="A19" s="16" t="s">
        <v>0</v>
      </c>
      <c r="B19" s="42">
        <v>9937095</v>
      </c>
      <c r="C19" s="41" t="s">
        <v>69</v>
      </c>
      <c r="D19" s="41" t="s">
        <v>70</v>
      </c>
      <c r="E19" s="39">
        <v>429</v>
      </c>
      <c r="F19" s="19">
        <v>39229</v>
      </c>
      <c r="G19" s="13">
        <v>420</v>
      </c>
      <c r="H19" s="11"/>
      <c r="I19" s="12"/>
      <c r="J19" s="11"/>
      <c r="K19" s="11"/>
      <c r="L19" s="10">
        <f t="shared" si="14"/>
        <v>35.28</v>
      </c>
      <c r="M19" s="10">
        <f t="shared" si="15"/>
        <v>25.2</v>
      </c>
      <c r="N19" s="10">
        <f t="shared" si="16"/>
        <v>0</v>
      </c>
      <c r="O19" s="10">
        <f t="shared" si="17"/>
        <v>0</v>
      </c>
      <c r="P19" s="10">
        <f t="shared" si="18"/>
        <v>0</v>
      </c>
      <c r="Q19" s="9">
        <f t="shared" si="19"/>
        <v>0</v>
      </c>
      <c r="R19" s="9">
        <f t="shared" si="20"/>
        <v>60.480000000000004</v>
      </c>
      <c r="S19" s="18">
        <v>45310</v>
      </c>
    </row>
    <row r="20" spans="1:19" s="1" customFormat="1" x14ac:dyDescent="0.25">
      <c r="A20" s="16" t="s">
        <v>0</v>
      </c>
      <c r="B20" s="42">
        <v>9972007</v>
      </c>
      <c r="C20" s="41" t="s">
        <v>6</v>
      </c>
      <c r="D20" s="41" t="s">
        <v>87</v>
      </c>
      <c r="E20" s="39">
        <v>433</v>
      </c>
      <c r="F20" s="19">
        <v>34739</v>
      </c>
      <c r="G20" s="13">
        <v>372.65</v>
      </c>
      <c r="H20" s="11"/>
      <c r="I20" s="12"/>
      <c r="J20" s="11"/>
      <c r="K20" s="11"/>
      <c r="L20" s="10">
        <f t="shared" si="14"/>
        <v>31.3</v>
      </c>
      <c r="M20" s="10">
        <f t="shared" si="15"/>
        <v>22.36</v>
      </c>
      <c r="N20" s="10">
        <f t="shared" si="16"/>
        <v>0</v>
      </c>
      <c r="O20" s="10">
        <f t="shared" si="17"/>
        <v>0</v>
      </c>
      <c r="P20" s="10">
        <f t="shared" si="18"/>
        <v>0</v>
      </c>
      <c r="Q20" s="9">
        <f t="shared" si="19"/>
        <v>0</v>
      </c>
      <c r="R20" s="9">
        <f t="shared" si="20"/>
        <v>53.66</v>
      </c>
      <c r="S20" s="18">
        <v>45328</v>
      </c>
    </row>
    <row r="21" spans="1:19" s="1" customFormat="1" x14ac:dyDescent="0.25">
      <c r="A21" s="16" t="s">
        <v>0</v>
      </c>
      <c r="B21" s="42">
        <v>9937093</v>
      </c>
      <c r="C21" s="41" t="s">
        <v>71</v>
      </c>
      <c r="D21" s="41" t="s">
        <v>72</v>
      </c>
      <c r="E21" s="39">
        <v>444</v>
      </c>
      <c r="F21" s="19">
        <v>37859</v>
      </c>
      <c r="G21" s="13">
        <v>420</v>
      </c>
      <c r="H21" s="11"/>
      <c r="I21" s="12"/>
      <c r="J21" s="11"/>
      <c r="K21" s="11"/>
      <c r="L21" s="10">
        <f t="shared" si="14"/>
        <v>35.28</v>
      </c>
      <c r="M21" s="10">
        <f t="shared" si="15"/>
        <v>25.2</v>
      </c>
      <c r="N21" s="10">
        <f t="shared" si="16"/>
        <v>0</v>
      </c>
      <c r="O21" s="10">
        <f t="shared" si="17"/>
        <v>0</v>
      </c>
      <c r="P21" s="10">
        <f t="shared" si="18"/>
        <v>0</v>
      </c>
      <c r="Q21" s="9">
        <f t="shared" si="19"/>
        <v>0</v>
      </c>
      <c r="R21" s="9">
        <f t="shared" si="20"/>
        <v>60.480000000000004</v>
      </c>
      <c r="S21" s="18">
        <v>45341</v>
      </c>
    </row>
    <row r="22" spans="1:19" s="1" customFormat="1" x14ac:dyDescent="0.25">
      <c r="A22" s="16" t="s">
        <v>0</v>
      </c>
      <c r="B22" s="42">
        <v>9937096</v>
      </c>
      <c r="C22" s="41" t="s">
        <v>73</v>
      </c>
      <c r="D22" s="41" t="s">
        <v>74</v>
      </c>
      <c r="E22" s="39">
        <v>448</v>
      </c>
      <c r="F22" s="19">
        <v>38353</v>
      </c>
      <c r="G22" s="13">
        <v>420</v>
      </c>
      <c r="H22" s="11"/>
      <c r="I22" s="12"/>
      <c r="J22" s="11"/>
      <c r="K22" s="11"/>
      <c r="L22" s="10">
        <f t="shared" si="14"/>
        <v>35.28</v>
      </c>
      <c r="M22" s="10">
        <f t="shared" si="15"/>
        <v>25.2</v>
      </c>
      <c r="N22" s="10">
        <f t="shared" si="16"/>
        <v>0</v>
      </c>
      <c r="O22" s="10">
        <f t="shared" si="17"/>
        <v>0</v>
      </c>
      <c r="P22" s="10">
        <f t="shared" si="18"/>
        <v>0</v>
      </c>
      <c r="Q22" s="9">
        <f t="shared" si="19"/>
        <v>0</v>
      </c>
      <c r="R22" s="9">
        <f t="shared" si="20"/>
        <v>60.480000000000004</v>
      </c>
      <c r="S22" s="18">
        <v>45342</v>
      </c>
    </row>
    <row r="23" spans="1:19" s="1" customFormat="1" x14ac:dyDescent="0.25">
      <c r="A23" s="16" t="s">
        <v>0</v>
      </c>
      <c r="B23" s="42">
        <v>9937307</v>
      </c>
      <c r="C23" s="41" t="s">
        <v>75</v>
      </c>
      <c r="D23" s="41" t="s">
        <v>76</v>
      </c>
      <c r="E23" s="39">
        <v>454</v>
      </c>
      <c r="F23" s="19">
        <v>36577</v>
      </c>
      <c r="G23" s="13">
        <v>420</v>
      </c>
      <c r="H23" s="11"/>
      <c r="I23" s="12"/>
      <c r="J23" s="11"/>
      <c r="K23" s="11"/>
      <c r="L23" s="10">
        <f t="shared" si="14"/>
        <v>35.28</v>
      </c>
      <c r="M23" s="10">
        <f t="shared" si="15"/>
        <v>25.2</v>
      </c>
      <c r="N23" s="10">
        <f t="shared" si="16"/>
        <v>0</v>
      </c>
      <c r="O23" s="10">
        <f t="shared" si="17"/>
        <v>0</v>
      </c>
      <c r="P23" s="10">
        <f t="shared" si="18"/>
        <v>0</v>
      </c>
      <c r="Q23" s="9">
        <f t="shared" si="19"/>
        <v>0</v>
      </c>
      <c r="R23" s="9">
        <f t="shared" si="20"/>
        <v>60.480000000000004</v>
      </c>
      <c r="S23" s="18">
        <v>45362</v>
      </c>
    </row>
    <row r="24" spans="1:19" s="1" customFormat="1" x14ac:dyDescent="0.25">
      <c r="A24" s="16" t="s">
        <v>0</v>
      </c>
      <c r="B24" s="37">
        <v>9923823</v>
      </c>
      <c r="C24" s="41" t="s">
        <v>52</v>
      </c>
      <c r="D24" s="41" t="s">
        <v>54</v>
      </c>
      <c r="E24" s="39">
        <v>457</v>
      </c>
      <c r="F24" s="19">
        <v>33109</v>
      </c>
      <c r="G24" s="13">
        <v>420</v>
      </c>
      <c r="H24" s="11"/>
      <c r="I24" s="12"/>
      <c r="J24" s="11"/>
      <c r="K24" s="11"/>
      <c r="L24" s="10">
        <f t="shared" si="14"/>
        <v>35.28</v>
      </c>
      <c r="M24" s="10">
        <f t="shared" si="15"/>
        <v>25.2</v>
      </c>
      <c r="N24" s="10">
        <f t="shared" si="16"/>
        <v>0</v>
      </c>
      <c r="O24" s="10">
        <f t="shared" si="17"/>
        <v>0</v>
      </c>
      <c r="P24" s="10">
        <f t="shared" si="18"/>
        <v>0</v>
      </c>
      <c r="Q24" s="9">
        <f t="shared" si="19"/>
        <v>0</v>
      </c>
      <c r="R24" s="9">
        <f t="shared" si="20"/>
        <v>60.480000000000004</v>
      </c>
      <c r="S24" s="18">
        <v>45398</v>
      </c>
    </row>
    <row r="25" spans="1:19" s="1" customFormat="1" x14ac:dyDescent="0.25">
      <c r="A25" s="16" t="s">
        <v>0</v>
      </c>
      <c r="B25" s="37">
        <v>9923200</v>
      </c>
      <c r="C25" s="41" t="s">
        <v>50</v>
      </c>
      <c r="D25" s="41" t="s">
        <v>51</v>
      </c>
      <c r="E25" s="39">
        <v>459</v>
      </c>
      <c r="F25" s="19">
        <v>37047</v>
      </c>
      <c r="G25" s="13">
        <v>420</v>
      </c>
      <c r="H25" s="11"/>
      <c r="I25" s="12"/>
      <c r="J25" s="11"/>
      <c r="K25" s="11"/>
      <c r="L25" s="10">
        <f t="shared" si="14"/>
        <v>35.28</v>
      </c>
      <c r="M25" s="10">
        <f t="shared" si="15"/>
        <v>25.2</v>
      </c>
      <c r="N25" s="10">
        <f t="shared" si="16"/>
        <v>0</v>
      </c>
      <c r="O25" s="10">
        <f t="shared" si="17"/>
        <v>0</v>
      </c>
      <c r="P25" s="10">
        <f t="shared" si="18"/>
        <v>0</v>
      </c>
      <c r="Q25" s="9">
        <f t="shared" si="19"/>
        <v>0</v>
      </c>
      <c r="R25" s="9">
        <f t="shared" si="20"/>
        <v>60.480000000000004</v>
      </c>
      <c r="S25" s="18">
        <v>45398</v>
      </c>
    </row>
    <row r="26" spans="1:19" s="1" customFormat="1" x14ac:dyDescent="0.25">
      <c r="A26" s="16" t="s">
        <v>0</v>
      </c>
      <c r="B26" s="37">
        <v>9919075</v>
      </c>
      <c r="C26" s="41" t="s">
        <v>46</v>
      </c>
      <c r="D26" s="41" t="s">
        <v>47</v>
      </c>
      <c r="E26" s="39">
        <v>469</v>
      </c>
      <c r="F26" s="19">
        <v>31769</v>
      </c>
      <c r="G26" s="13">
        <v>483</v>
      </c>
      <c r="H26" s="11"/>
      <c r="I26" s="12"/>
      <c r="J26" s="11"/>
      <c r="K26" s="11"/>
      <c r="L26" s="10">
        <f t="shared" si="14"/>
        <v>40.57</v>
      </c>
      <c r="M26" s="10">
        <f t="shared" si="15"/>
        <v>28.98</v>
      </c>
      <c r="N26" s="10">
        <f t="shared" si="16"/>
        <v>0</v>
      </c>
      <c r="O26" s="10">
        <f t="shared" si="17"/>
        <v>0</v>
      </c>
      <c r="P26" s="10">
        <f t="shared" si="18"/>
        <v>0</v>
      </c>
      <c r="Q26" s="9">
        <f t="shared" si="19"/>
        <v>0</v>
      </c>
      <c r="R26" s="9">
        <f t="shared" si="20"/>
        <v>69.55</v>
      </c>
      <c r="S26" s="18">
        <v>45463</v>
      </c>
    </row>
    <row r="27" spans="1:19" s="1" customFormat="1" x14ac:dyDescent="0.25">
      <c r="A27" s="16" t="s">
        <v>0</v>
      </c>
      <c r="B27" s="37">
        <v>9944730</v>
      </c>
      <c r="C27" s="41" t="s">
        <v>79</v>
      </c>
      <c r="D27" s="41" t="s">
        <v>80</v>
      </c>
      <c r="E27" s="39">
        <v>474</v>
      </c>
      <c r="F27" s="19">
        <v>33036</v>
      </c>
      <c r="G27" s="13">
        <v>229.25</v>
      </c>
      <c r="H27" s="11"/>
      <c r="I27" s="12"/>
      <c r="J27" s="11"/>
      <c r="K27" s="11"/>
      <c r="L27" s="10">
        <f t="shared" si="14"/>
        <v>19.260000000000002</v>
      </c>
      <c r="M27" s="10">
        <f t="shared" si="15"/>
        <v>13.76</v>
      </c>
      <c r="N27" s="10">
        <f t="shared" si="16"/>
        <v>0</v>
      </c>
      <c r="O27" s="10">
        <f t="shared" si="17"/>
        <v>0</v>
      </c>
      <c r="P27" s="10">
        <f t="shared" si="18"/>
        <v>0</v>
      </c>
      <c r="Q27" s="9">
        <f t="shared" si="19"/>
        <v>0</v>
      </c>
      <c r="R27" s="9">
        <f t="shared" si="20"/>
        <v>33.020000000000003</v>
      </c>
      <c r="S27" s="18">
        <v>45478</v>
      </c>
    </row>
    <row r="28" spans="1:19" s="1" customFormat="1" x14ac:dyDescent="0.25">
      <c r="A28" s="16" t="s">
        <v>0</v>
      </c>
      <c r="B28" s="43">
        <v>9908520</v>
      </c>
      <c r="C28" s="41" t="s">
        <v>42</v>
      </c>
      <c r="D28" s="41" t="s">
        <v>43</v>
      </c>
      <c r="E28" s="39">
        <v>475</v>
      </c>
      <c r="F28" s="19">
        <v>33966</v>
      </c>
      <c r="G28" s="13">
        <v>384.75</v>
      </c>
      <c r="H28" s="11"/>
      <c r="I28" s="12"/>
      <c r="J28" s="11"/>
      <c r="K28" s="11"/>
      <c r="L28" s="10">
        <f t="shared" si="14"/>
        <v>32.32</v>
      </c>
      <c r="M28" s="10">
        <f t="shared" si="15"/>
        <v>23.09</v>
      </c>
      <c r="N28" s="10">
        <f t="shared" si="16"/>
        <v>0</v>
      </c>
      <c r="O28" s="10">
        <f t="shared" si="17"/>
        <v>0</v>
      </c>
      <c r="P28" s="10">
        <f t="shared" si="18"/>
        <v>0</v>
      </c>
      <c r="Q28" s="9">
        <f t="shared" si="19"/>
        <v>0</v>
      </c>
      <c r="R28" s="9">
        <f t="shared" si="20"/>
        <v>55.41</v>
      </c>
      <c r="S28" s="18">
        <v>45500</v>
      </c>
    </row>
    <row r="29" spans="1:19" s="1" customFormat="1" x14ac:dyDescent="0.25">
      <c r="A29" s="16" t="s">
        <v>0</v>
      </c>
      <c r="B29" s="37">
        <v>9919077</v>
      </c>
      <c r="C29" s="41" t="s">
        <v>48</v>
      </c>
      <c r="D29" s="41" t="s">
        <v>49</v>
      </c>
      <c r="E29" s="39">
        <v>504</v>
      </c>
      <c r="F29" s="19">
        <v>38236</v>
      </c>
      <c r="G29" s="13">
        <v>420</v>
      </c>
      <c r="H29" s="11"/>
      <c r="I29" s="12"/>
      <c r="J29" s="11"/>
      <c r="K29" s="11"/>
      <c r="L29" s="10">
        <f t="shared" si="14"/>
        <v>35.28</v>
      </c>
      <c r="M29" s="10">
        <f t="shared" si="15"/>
        <v>25.2</v>
      </c>
      <c r="N29" s="10">
        <f t="shared" si="16"/>
        <v>0</v>
      </c>
      <c r="O29" s="10">
        <f t="shared" si="17"/>
        <v>0</v>
      </c>
      <c r="P29" s="10">
        <f t="shared" si="18"/>
        <v>0</v>
      </c>
      <c r="Q29" s="9">
        <f t="shared" si="19"/>
        <v>0</v>
      </c>
      <c r="R29" s="9">
        <f t="shared" si="20"/>
        <v>60.480000000000004</v>
      </c>
      <c r="S29" s="18">
        <v>45626</v>
      </c>
    </row>
    <row r="30" spans="1:19" s="1" customFormat="1" x14ac:dyDescent="0.25">
      <c r="A30" s="16" t="s">
        <v>0</v>
      </c>
      <c r="B30" s="37">
        <v>9972006</v>
      </c>
      <c r="C30" s="41" t="s">
        <v>88</v>
      </c>
      <c r="D30" s="41" t="s">
        <v>89</v>
      </c>
      <c r="E30" s="39">
        <v>527</v>
      </c>
      <c r="F30" s="19">
        <v>31176</v>
      </c>
      <c r="G30" s="13">
        <v>420</v>
      </c>
      <c r="H30" s="11"/>
      <c r="I30" s="12"/>
      <c r="J30" s="11"/>
      <c r="K30" s="11"/>
      <c r="L30" s="10">
        <f t="shared" si="14"/>
        <v>35.28</v>
      </c>
      <c r="M30" s="10">
        <f t="shared" si="15"/>
        <v>25.2</v>
      </c>
      <c r="N30" s="10">
        <f t="shared" si="16"/>
        <v>0</v>
      </c>
      <c r="O30" s="10">
        <f t="shared" si="17"/>
        <v>0</v>
      </c>
      <c r="P30" s="10">
        <f t="shared" si="18"/>
        <v>0</v>
      </c>
      <c r="Q30" s="9">
        <f t="shared" si="19"/>
        <v>0</v>
      </c>
      <c r="R30" s="9">
        <f t="shared" si="20"/>
        <v>60.480000000000004</v>
      </c>
      <c r="S30" s="18">
        <v>45687</v>
      </c>
    </row>
    <row r="31" spans="1:19" s="1" customFormat="1" x14ac:dyDescent="0.25">
      <c r="A31" s="16" t="s">
        <v>0</v>
      </c>
      <c r="B31" s="37">
        <v>9939906</v>
      </c>
      <c r="C31" s="41" t="s">
        <v>77</v>
      </c>
      <c r="D31" s="41" t="s">
        <v>74</v>
      </c>
      <c r="E31" s="39">
        <v>539</v>
      </c>
      <c r="F31" s="19">
        <v>36196</v>
      </c>
      <c r="G31" s="13">
        <v>325.10000000000002</v>
      </c>
      <c r="H31" s="11"/>
      <c r="I31" s="12"/>
      <c r="J31" s="11"/>
      <c r="K31" s="11"/>
      <c r="L31" s="10">
        <f t="shared" si="14"/>
        <v>27.31</v>
      </c>
      <c r="M31" s="10">
        <f t="shared" si="15"/>
        <v>19.510000000000002</v>
      </c>
      <c r="N31" s="10">
        <f t="shared" si="16"/>
        <v>0</v>
      </c>
      <c r="O31" s="10">
        <f t="shared" si="17"/>
        <v>0</v>
      </c>
      <c r="P31" s="10">
        <f t="shared" si="18"/>
        <v>0</v>
      </c>
      <c r="Q31" s="9">
        <f t="shared" si="19"/>
        <v>0</v>
      </c>
      <c r="R31" s="9">
        <f t="shared" si="20"/>
        <v>46.82</v>
      </c>
      <c r="S31" s="18">
        <v>45707</v>
      </c>
    </row>
    <row r="32" spans="1:19" s="1" customFormat="1" x14ac:dyDescent="0.25">
      <c r="A32" s="16" t="s">
        <v>0</v>
      </c>
      <c r="B32" s="15">
        <v>9944728</v>
      </c>
      <c r="C32" s="14" t="s">
        <v>81</v>
      </c>
      <c r="D32" s="14" t="s">
        <v>82</v>
      </c>
      <c r="E32" s="38">
        <v>553</v>
      </c>
      <c r="F32" s="17">
        <v>36062</v>
      </c>
      <c r="G32" s="13">
        <v>420</v>
      </c>
      <c r="H32" s="11"/>
      <c r="I32" s="12"/>
      <c r="J32" s="11"/>
      <c r="K32" s="11"/>
      <c r="L32" s="10">
        <f t="shared" si="14"/>
        <v>35.28</v>
      </c>
      <c r="M32" s="10">
        <f t="shared" si="15"/>
        <v>25.2</v>
      </c>
      <c r="N32" s="10">
        <f t="shared" si="16"/>
        <v>0</v>
      </c>
      <c r="O32" s="10">
        <f t="shared" si="17"/>
        <v>0</v>
      </c>
      <c r="P32" s="10">
        <f t="shared" si="18"/>
        <v>0</v>
      </c>
      <c r="Q32" s="9">
        <f t="shared" si="19"/>
        <v>0</v>
      </c>
      <c r="R32" s="9">
        <f t="shared" si="20"/>
        <v>60.480000000000004</v>
      </c>
      <c r="S32" s="8">
        <v>45719</v>
      </c>
    </row>
    <row r="33" spans="1:19" x14ac:dyDescent="0.25">
      <c r="A33" s="16" t="s">
        <v>0</v>
      </c>
      <c r="B33" s="15">
        <v>9972003</v>
      </c>
      <c r="C33" s="14" t="s">
        <v>95</v>
      </c>
      <c r="D33" s="14" t="s">
        <v>39</v>
      </c>
      <c r="E33" s="38">
        <v>566</v>
      </c>
      <c r="F33" s="17">
        <v>35724</v>
      </c>
      <c r="G33" s="13">
        <v>570</v>
      </c>
      <c r="H33" s="11"/>
      <c r="I33" s="12"/>
      <c r="J33" s="11"/>
      <c r="K33" s="11"/>
      <c r="L33" s="10">
        <f t="shared" si="14"/>
        <v>47.88</v>
      </c>
      <c r="M33" s="10">
        <f t="shared" si="15"/>
        <v>34.200000000000003</v>
      </c>
      <c r="N33" s="10">
        <f t="shared" si="16"/>
        <v>0</v>
      </c>
      <c r="O33" s="10">
        <f t="shared" si="17"/>
        <v>0</v>
      </c>
      <c r="P33" s="10">
        <f t="shared" si="18"/>
        <v>0</v>
      </c>
      <c r="Q33" s="9">
        <f t="shared" si="19"/>
        <v>0</v>
      </c>
      <c r="R33" s="9">
        <f t="shared" si="20"/>
        <v>82.080000000000013</v>
      </c>
      <c r="S33" s="8">
        <v>45726</v>
      </c>
    </row>
    <row r="34" spans="1:19" x14ac:dyDescent="0.25">
      <c r="A34" s="16" t="s">
        <v>0</v>
      </c>
      <c r="B34" s="15">
        <v>9972005</v>
      </c>
      <c r="C34" s="14" t="s">
        <v>90</v>
      </c>
      <c r="D34" s="14" t="s">
        <v>91</v>
      </c>
      <c r="E34" s="38">
        <v>580</v>
      </c>
      <c r="F34" s="17">
        <v>33363</v>
      </c>
      <c r="G34" s="13">
        <v>354</v>
      </c>
      <c r="H34" s="11"/>
      <c r="I34" s="12"/>
      <c r="J34" s="11"/>
      <c r="K34" s="11"/>
      <c r="L34" s="10">
        <f t="shared" ref="L34:L35" si="21">ROUND(G34*8.4%,2)</f>
        <v>29.74</v>
      </c>
      <c r="M34" s="10">
        <f t="shared" ref="M34:M35" si="22">ROUND(G34*6%,2)</f>
        <v>21.24</v>
      </c>
      <c r="N34" s="10">
        <f t="shared" ref="N34:N35" si="23">ROUND(G34*H34%,2)</f>
        <v>0</v>
      </c>
      <c r="O34" s="10">
        <f t="shared" ref="O34:O35" si="24">ROUND(G34*I34%,2)</f>
        <v>0</v>
      </c>
      <c r="P34" s="10">
        <f t="shared" ref="P34:P35" si="25">ROUND(G34*J34%,2)</f>
        <v>0</v>
      </c>
      <c r="Q34" s="9">
        <f t="shared" ref="Q34:Q35" si="26">ROUND(G34*K34%,2)</f>
        <v>0</v>
      </c>
      <c r="R34" s="9">
        <f t="shared" ref="R34:R35" si="27">SUM(L34:Q34)</f>
        <v>50.98</v>
      </c>
      <c r="S34" s="8">
        <v>45780</v>
      </c>
    </row>
    <row r="35" spans="1:19" x14ac:dyDescent="0.25">
      <c r="A35" s="16" t="s">
        <v>0</v>
      </c>
      <c r="B35" s="15">
        <v>9926821</v>
      </c>
      <c r="C35" s="14" t="s">
        <v>96</v>
      </c>
      <c r="D35" s="14" t="s">
        <v>97</v>
      </c>
      <c r="E35" s="38">
        <v>599</v>
      </c>
      <c r="F35" s="17">
        <v>38142</v>
      </c>
      <c r="G35" s="13">
        <v>353.4</v>
      </c>
      <c r="H35" s="11"/>
      <c r="I35" s="12"/>
      <c r="J35" s="11"/>
      <c r="K35" s="11"/>
      <c r="L35" s="10">
        <f t="shared" si="21"/>
        <v>29.69</v>
      </c>
      <c r="M35" s="10">
        <f t="shared" si="22"/>
        <v>21.2</v>
      </c>
      <c r="N35" s="10">
        <f t="shared" si="23"/>
        <v>0</v>
      </c>
      <c r="O35" s="10">
        <f t="shared" si="24"/>
        <v>0</v>
      </c>
      <c r="P35" s="10">
        <f t="shared" si="25"/>
        <v>0</v>
      </c>
      <c r="Q35" s="9">
        <f t="shared" si="26"/>
        <v>0</v>
      </c>
      <c r="R35" s="9">
        <f t="shared" si="27"/>
        <v>50.89</v>
      </c>
      <c r="S35" s="8">
        <v>45833</v>
      </c>
    </row>
    <row r="36" spans="1:19" x14ac:dyDescent="0.25">
      <c r="A36" s="16" t="s">
        <v>0</v>
      </c>
      <c r="B36" s="15">
        <v>9927033</v>
      </c>
      <c r="C36" s="14" t="s">
        <v>65</v>
      </c>
      <c r="D36" s="14" t="s">
        <v>66</v>
      </c>
      <c r="E36" s="38" t="s">
        <v>64</v>
      </c>
      <c r="F36" s="17">
        <v>23716</v>
      </c>
      <c r="G36" s="13">
        <v>434.5</v>
      </c>
      <c r="H36" s="11"/>
      <c r="I36" s="12"/>
      <c r="J36" s="11"/>
      <c r="K36" s="11"/>
      <c r="L36" s="10">
        <f t="shared" ref="L36" si="28">ROUND(G36*8.4%,2)</f>
        <v>36.5</v>
      </c>
      <c r="M36" s="10">
        <f t="shared" ref="M36" si="29">ROUND(G36*6%,2)</f>
        <v>26.07</v>
      </c>
      <c r="N36" s="10">
        <f t="shared" ref="N36" si="30">ROUND(G36*H36%,2)</f>
        <v>0</v>
      </c>
      <c r="O36" s="10">
        <f t="shared" ref="O36" si="31">ROUND(G36*I36%,2)</f>
        <v>0</v>
      </c>
      <c r="P36" s="10">
        <f t="shared" ref="P36" si="32">ROUND(G36*J36%,2)</f>
        <v>0</v>
      </c>
      <c r="Q36" s="9">
        <f t="shared" ref="Q36" si="33">ROUND(G36*K36%,2)</f>
        <v>0</v>
      </c>
      <c r="R36" s="9">
        <f t="shared" ref="R36" si="34">SUM(L36:Q36)</f>
        <v>62.57</v>
      </c>
      <c r="S36" s="8">
        <v>44655</v>
      </c>
    </row>
    <row r="37" spans="1:19" x14ac:dyDescent="0.25">
      <c r="A37" s="16" t="s">
        <v>0</v>
      </c>
      <c r="B37" s="15">
        <v>9908524</v>
      </c>
      <c r="C37" s="14" t="s">
        <v>55</v>
      </c>
      <c r="D37" s="14" t="s">
        <v>58</v>
      </c>
      <c r="E37" s="38" t="s">
        <v>61</v>
      </c>
      <c r="F37" s="17">
        <v>30271</v>
      </c>
      <c r="G37" s="13">
        <v>444</v>
      </c>
      <c r="H37" s="11"/>
      <c r="I37" s="12"/>
      <c r="J37" s="11"/>
      <c r="K37" s="11"/>
      <c r="L37" s="10">
        <f t="shared" ref="L37:L39" si="35">ROUND(G37*8.4%,2)</f>
        <v>37.299999999999997</v>
      </c>
      <c r="M37" s="10">
        <f t="shared" ref="M37:M39" si="36">ROUND(G37*6%,2)</f>
        <v>26.64</v>
      </c>
      <c r="N37" s="10">
        <f t="shared" ref="N37:N39" si="37">ROUND(G37*H37%,2)</f>
        <v>0</v>
      </c>
      <c r="O37" s="10">
        <f t="shared" ref="O37:O39" si="38">ROUND(G37*I37%,2)</f>
        <v>0</v>
      </c>
      <c r="P37" s="10">
        <f t="shared" ref="P37:P39" si="39">ROUND(G37*J37%,2)</f>
        <v>0</v>
      </c>
      <c r="Q37" s="9">
        <f t="shared" ref="Q37:Q39" si="40">ROUND(G37*K37%,2)</f>
        <v>0</v>
      </c>
      <c r="R37" s="9">
        <f t="shared" ref="R37:R39" si="41">SUM(L37:Q37)</f>
        <v>63.94</v>
      </c>
      <c r="S37" s="8">
        <v>44733</v>
      </c>
    </row>
    <row r="38" spans="1:19" x14ac:dyDescent="0.25">
      <c r="A38" s="16" t="s">
        <v>0</v>
      </c>
      <c r="B38" s="15">
        <v>9696536</v>
      </c>
      <c r="C38" s="14" t="s">
        <v>56</v>
      </c>
      <c r="D38" s="14" t="s">
        <v>59</v>
      </c>
      <c r="E38" s="38" t="s">
        <v>62</v>
      </c>
      <c r="F38" s="17">
        <v>34767</v>
      </c>
      <c r="G38" s="13">
        <v>672</v>
      </c>
      <c r="H38" s="11"/>
      <c r="I38" s="12"/>
      <c r="J38" s="11"/>
      <c r="K38" s="11"/>
      <c r="L38" s="10">
        <f t="shared" si="35"/>
        <v>56.45</v>
      </c>
      <c r="M38" s="10">
        <f t="shared" si="36"/>
        <v>40.32</v>
      </c>
      <c r="N38" s="10">
        <f t="shared" si="37"/>
        <v>0</v>
      </c>
      <c r="O38" s="10">
        <f t="shared" si="38"/>
        <v>0</v>
      </c>
      <c r="P38" s="10">
        <f t="shared" si="39"/>
        <v>0</v>
      </c>
      <c r="Q38" s="9">
        <f t="shared" si="40"/>
        <v>0</v>
      </c>
      <c r="R38" s="9">
        <f t="shared" si="41"/>
        <v>96.77000000000001</v>
      </c>
      <c r="S38" s="8">
        <v>44210</v>
      </c>
    </row>
    <row r="39" spans="1:19" x14ac:dyDescent="0.25">
      <c r="A39" s="16" t="s">
        <v>0</v>
      </c>
      <c r="B39" s="15">
        <v>9871610</v>
      </c>
      <c r="C39" s="14" t="s">
        <v>57</v>
      </c>
      <c r="D39" s="14" t="s">
        <v>60</v>
      </c>
      <c r="E39" s="38" t="s">
        <v>63</v>
      </c>
      <c r="F39" s="17">
        <v>25756</v>
      </c>
      <c r="G39" s="13">
        <v>462</v>
      </c>
      <c r="H39" s="11"/>
      <c r="I39" s="12"/>
      <c r="J39" s="11"/>
      <c r="K39" s="11"/>
      <c r="L39" s="10">
        <f t="shared" si="35"/>
        <v>38.81</v>
      </c>
      <c r="M39" s="10">
        <f t="shared" si="36"/>
        <v>27.72</v>
      </c>
      <c r="N39" s="10">
        <f t="shared" si="37"/>
        <v>0</v>
      </c>
      <c r="O39" s="10">
        <f t="shared" si="38"/>
        <v>0</v>
      </c>
      <c r="P39" s="10">
        <f t="shared" si="39"/>
        <v>0</v>
      </c>
      <c r="Q39" s="9">
        <f t="shared" si="40"/>
        <v>0</v>
      </c>
      <c r="R39" s="9">
        <f t="shared" si="41"/>
        <v>66.53</v>
      </c>
      <c r="S39" s="8">
        <v>45167</v>
      </c>
    </row>
    <row r="40" spans="1:19" x14ac:dyDescent="0.25">
      <c r="A40" s="7">
        <v>5</v>
      </c>
      <c r="B40" s="6"/>
      <c r="C40" s="6"/>
      <c r="D40" s="6"/>
      <c r="E40" s="5"/>
      <c r="F40" s="5"/>
      <c r="G40" s="4">
        <f t="shared" ref="G40:R40" si="42">SUM(G4:G39)</f>
        <v>16609.8</v>
      </c>
      <c r="H40" s="4">
        <f t="shared" si="42"/>
        <v>0</v>
      </c>
      <c r="I40" s="4">
        <f t="shared" si="42"/>
        <v>0</v>
      </c>
      <c r="J40" s="4">
        <f t="shared" si="42"/>
        <v>0</v>
      </c>
      <c r="K40" s="4">
        <f t="shared" si="42"/>
        <v>0</v>
      </c>
      <c r="L40" s="4">
        <f t="shared" si="42"/>
        <v>1395.25</v>
      </c>
      <c r="M40" s="4">
        <f t="shared" si="42"/>
        <v>996.60000000000059</v>
      </c>
      <c r="N40" s="4">
        <f t="shared" si="42"/>
        <v>0</v>
      </c>
      <c r="O40" s="4">
        <f t="shared" si="42"/>
        <v>0</v>
      </c>
      <c r="P40" s="4">
        <f t="shared" si="42"/>
        <v>0</v>
      </c>
      <c r="Q40" s="4">
        <f t="shared" si="42"/>
        <v>0</v>
      </c>
      <c r="R40" s="4">
        <f t="shared" si="42"/>
        <v>2391.8500000000004</v>
      </c>
      <c r="S40" s="3"/>
    </row>
  </sheetData>
  <phoneticPr fontId="9" type="noConversion"/>
  <dataValidations count="2">
    <dataValidation type="custom" allowBlank="1" showInputMessage="1" showErrorMessage="1" errorTitle="Invalid Date" error="Please use correct date format: dd/mm/yyyy" promptTitle="Info" prompt="Date Format: dd/mm/yyyy" sqref="S4:S39" xr:uid="{00000000-0002-0000-0000-000000000000}">
      <formula1>AND(ISNUMBER(S4),LEFT(CELL("format",S4),1)="D")</formula1>
    </dataValidation>
    <dataValidation type="custom" allowBlank="1" showInputMessage="1" showErrorMessage="1" errorTitle="Invalid Date" error="Please use the correct date format: dd/mm/yyyy" promptTitle="Info" prompt="Date format: dd/mm/yyyy" sqref="F4:F39" xr:uid="{00000000-0002-0000-0000-000001000000}">
      <formula1>AND(ISNUMBER(F4),LEFT(CELL("format",F4),1)="D")</formula1>
    </dataValidation>
  </dataValidations>
  <printOptions gridLines="1"/>
  <pageMargins left="0.15748031496062992" right="0.15748031496062992" top="0.19685039370078741" bottom="0.31496062992125984" header="0.19685039370078741" footer="0.31496062992125984"/>
  <pageSetup paperSize="9"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FN14</vt:lpstr>
      <vt:lpstr>'FN14'!Print_Area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Wilxon Andres</dc:creator>
  <cp:lastModifiedBy>admin</cp:lastModifiedBy>
  <dcterms:created xsi:type="dcterms:W3CDTF">2024-07-03T01:03:12Z</dcterms:created>
  <dcterms:modified xsi:type="dcterms:W3CDTF">2026-09-24T07:12:24Z</dcterms:modified>
</cp:coreProperties>
</file>